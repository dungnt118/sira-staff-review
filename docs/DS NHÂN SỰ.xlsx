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EMAIL CBNV" sheetId="1" r:id="rId5"/>
    <sheet state="visible" name="TỔNG QUAN" sheetId="2" r:id="rId6"/>
    <sheet state="visible" name="PHÒNG BAN PHỐI HỢP ĐÁNH GIÁ" sheetId="3" r:id="rId7"/>
    <sheet state="visible" name="EMPLOYEES" sheetId="4" r:id="rId8"/>
    <sheet state="visible" name="ASSIGNMENTS" sheetId="5" r:id="rId9"/>
    <sheet state="visible" name="CRITERIA" sheetId="6" r:id="rId10"/>
    <sheet state="visible" name="RESPONSES" sheetId="7" r:id="rId11"/>
    <sheet state="visible" name="REPORT" sheetId="8" r:id="rId12"/>
  </sheets>
  <definedNames>
    <definedName hidden="1" localSheetId="0" name="Z_9BD6ACEA_7BF5_4A40_B712_B5AABA76F807_.wvu.FilterData">'DS EMAIL CBNV'!$A$2:$D$37</definedName>
    <definedName hidden="1" localSheetId="2" name="Z_9BD6ACEA_7BF5_4A40_B712_B5AABA76F807_.wvu.FilterData">'PHÒNG BAN PHỐI HỢP ĐÁNH GIÁ'!$A$2:$E$38</definedName>
  </definedNames>
  <calcPr/>
  <customWorkbookViews>
    <customWorkbookView activeSheetId="0" maximized="1" windowHeight="0" windowWidth="0" guid="{9BD6ACEA-7BF5-4A40-B712-B5AABA76F807}" name="Bộ lọc 1"/>
  </customWorkbookViews>
</workbook>
</file>

<file path=xl/sharedStrings.xml><?xml version="1.0" encoding="utf-8"?>
<sst xmlns="http://schemas.openxmlformats.org/spreadsheetml/2006/main" count="387" uniqueCount="170">
  <si>
    <t>STT</t>
  </si>
  <si>
    <t>Tên</t>
  </si>
  <si>
    <t>Chức vụ</t>
  </si>
  <si>
    <t>Ghi chú</t>
  </si>
  <si>
    <t>Email Company</t>
  </si>
  <si>
    <t>Mail Server &amp; Pw</t>
  </si>
  <si>
    <t>BAN LÃNH ĐẠO</t>
  </si>
  <si>
    <t>Trần Thị Huyền</t>
  </si>
  <si>
    <t>Tổng Giám Đốc</t>
  </si>
  <si>
    <t>huyentt@sira.vn</t>
  </si>
  <si>
    <r>
      <rPr>
        <rFont val="Times New Roman"/>
        <color rgb="FF1155CC"/>
        <sz val="11.0"/>
        <u/>
      </rPr>
      <t>http://mail.sira.vn</t>
    </r>
    <r>
      <rPr>
        <rFont val="Times New Roman"/>
        <sz val="11.0"/>
      </rPr>
      <t xml:space="preserve">    mk: Sira@123</t>
    </r>
  </si>
  <si>
    <t>Nguyễn Tuấn Dũng</t>
  </si>
  <si>
    <t>Phó giám đốc</t>
  </si>
  <si>
    <t>dungnt118@sira.vn</t>
  </si>
  <si>
    <t>http://mail.sira.vn    mk: Sira@123</t>
  </si>
  <si>
    <t>Trần Anh Tuấn</t>
  </si>
  <si>
    <t>Trợ lý Vận hành</t>
  </si>
  <si>
    <t>tuanta@sira.vn</t>
  </si>
  <si>
    <t>Nguyễn Tâm Phúc Anh</t>
  </si>
  <si>
    <t>Trợ lý CEO</t>
  </si>
  <si>
    <t>phucanhnt@sira.vn</t>
  </si>
  <si>
    <t>Phạm Anh Tài</t>
  </si>
  <si>
    <t>R&amp;D</t>
  </si>
  <si>
    <t>Nhận việc vào T2/2026</t>
  </si>
  <si>
    <t>taipa@sira.vn</t>
  </si>
  <si>
    <t>HCNS - KT</t>
  </si>
  <si>
    <t>Nguyễn Thị Hải Yến</t>
  </si>
  <si>
    <t>Kế toán</t>
  </si>
  <si>
    <t>Làm hết T1/2026</t>
  </si>
  <si>
    <t>haiyennt@sira.vn</t>
  </si>
  <si>
    <t>Dư Thị Bích Ngọc</t>
  </si>
  <si>
    <t>Kế toán Tổng hợp</t>
  </si>
  <si>
    <t>bichngocdt@sira.vn</t>
  </si>
  <si>
    <t>Nguyễn Thị Thúy</t>
  </si>
  <si>
    <t>Kế toán Nội Bộ</t>
  </si>
  <si>
    <t>thuynt.kt@sira.vn</t>
  </si>
  <si>
    <t>Lê Thanh Ngát</t>
  </si>
  <si>
    <t>Hành chính nhân sự</t>
  </si>
  <si>
    <t>ngatlt@sira.vn</t>
  </si>
  <si>
    <t>P. KDAM1</t>
  </si>
  <si>
    <t>Nguyễn Đức Lâm</t>
  </si>
  <si>
    <t>Kinh Doanh</t>
  </si>
  <si>
    <t>lamnd@sira.vn</t>
  </si>
  <si>
    <t>Phùng Thị Yến</t>
  </si>
  <si>
    <t>Nghỉ Thai Sản</t>
  </si>
  <si>
    <t>yenpt.kd@sira.vn</t>
  </si>
  <si>
    <t>Nguyễn Thị Ninh</t>
  </si>
  <si>
    <t>Đang nghỉ thai sản</t>
  </si>
  <si>
    <t>ninhnt@sira.vn</t>
  </si>
  <si>
    <t>Đỗ Mạnh Quân</t>
  </si>
  <si>
    <t>nhân viên media</t>
  </si>
  <si>
    <t>quandm@sira.vn</t>
  </si>
  <si>
    <t>P. KDAM2 + PKDAM3</t>
  </si>
  <si>
    <t>Nguyễn Đình Văn - HP</t>
  </si>
  <si>
    <t>MKT</t>
  </si>
  <si>
    <t>vannd.hp@sỉa.vn</t>
  </si>
  <si>
    <t>Nguyễn Thị Yến</t>
  </si>
  <si>
    <t>Nhân viên kinh doanh</t>
  </si>
  <si>
    <t>yennt.kd@sira.vn</t>
  </si>
  <si>
    <t>Dương Văn Thắng</t>
  </si>
  <si>
    <t>Sale</t>
  </si>
  <si>
    <t>thangdv@sira.vn</t>
  </si>
  <si>
    <t>Nguyễn Đình Văn (HN)</t>
  </si>
  <si>
    <t>Marketing</t>
  </si>
  <si>
    <r>
      <rPr>
        <rFont val="Times New Roman"/>
        <color rgb="FF1155CC"/>
        <sz val="11.0"/>
        <u/>
      </rPr>
      <t>vannd.hn</t>
    </r>
    <r>
      <rPr>
        <rFont val="Times New Roman"/>
        <color rgb="FF000000"/>
        <sz val="11.0"/>
      </rPr>
      <t>@sira.vn</t>
    </r>
  </si>
  <si>
    <t>Hoàng Mạnh Cường</t>
  </si>
  <si>
    <t>cuonghm@sira.vn</t>
  </si>
  <si>
    <t>MKT + VẬN HÀNH</t>
  </si>
  <si>
    <t>Lê Thị Lâm Oanh</t>
  </si>
  <si>
    <t>Trường nhóm MKT</t>
  </si>
  <si>
    <t>lamoanhlt@sira.vn</t>
  </si>
  <si>
    <t>Nguyễn Thị Thủy</t>
  </si>
  <si>
    <t>Nhân viên Marketing</t>
  </si>
  <si>
    <t>thuynt.mkt@sira.vn</t>
  </si>
  <si>
    <t>Phạm Duy Sỹ</t>
  </si>
  <si>
    <t>nhân viên digital marketing</t>
  </si>
  <si>
    <t>sypd@sira.vn</t>
  </si>
  <si>
    <t>Nguyễn Thu Hà</t>
  </si>
  <si>
    <t>vận hành sàn</t>
  </si>
  <si>
    <t>hant@sira.vn</t>
  </si>
  <si>
    <t>Trần Thị Thanh Huyền</t>
  </si>
  <si>
    <t>thanhhuyentt@sira.vn</t>
  </si>
  <si>
    <t>KHO HN</t>
  </si>
  <si>
    <t>Lường Văn Quảng</t>
  </si>
  <si>
    <t>Kho</t>
  </si>
  <si>
    <t>quanglv@sira.vn</t>
  </si>
  <si>
    <t>Nguyễn Trọng Hiệp</t>
  </si>
  <si>
    <t>hiepnt@sira.vn</t>
  </si>
  <si>
    <t>Thái Thị Như</t>
  </si>
  <si>
    <t>Kinh doanh</t>
  </si>
  <si>
    <t>nhutt@sira.vn</t>
  </si>
  <si>
    <t>KHO HCM</t>
  </si>
  <si>
    <t>Trần Bình Sinh</t>
  </si>
  <si>
    <t>sinhtb@sira.vn</t>
  </si>
  <si>
    <t>Nguyễn Văn Cảm</t>
  </si>
  <si>
    <t>camnv@sira.vn</t>
  </si>
  <si>
    <t>Dương Bảo Luân</t>
  </si>
  <si>
    <t>luandb@sira.vn</t>
  </si>
  <si>
    <t>HẠNG MỤC</t>
  </si>
  <si>
    <t>LINK TÀI LIỆU</t>
  </si>
  <si>
    <t>Nguyên tắc đánh giá:</t>
  </si>
  <si>
    <r>
      <rPr>
        <rFont val="Times New Roman"/>
        <color rgb="FF1155CC"/>
        <sz val="11.0"/>
        <u/>
      </rPr>
      <t>https://docs.google.com/document/d/16xgW-NPig3GBdIqNeq1NMGx9BbyZ_oKWG1zeQmcml2g/edit?tab=t.0</t>
    </r>
    <r>
      <rPr>
        <rFont val="Times New Roman"/>
        <color rgb="FF000000"/>
        <sz val="11.0"/>
      </rPr>
      <t xml:space="preserve"> </t>
    </r>
  </si>
  <si>
    <t xml:space="preserve">Bộ phận đánh giá liên quan: </t>
  </si>
  <si>
    <r>
      <rPr>
        <rFont val="Times New Roman"/>
        <color rgb="FF1155CC"/>
        <sz val="11.0"/>
        <u/>
      </rPr>
      <t>https://docs.google.com/spreadsheets/d/1tXLOOPHF-PzjxawZvoJjMn8UYG26abwU_EQvHIvOhko/edit?gid=1309404796#gid=1309404796</t>
    </r>
    <r>
      <rPr>
        <rFont val="Times New Roman"/>
        <color rgb="FF000000"/>
        <sz val="11.0"/>
      </rPr>
      <t xml:space="preserve"> </t>
    </r>
  </si>
  <si>
    <t>Mẫu đánh giá cấp nhân viên:</t>
  </si>
  <si>
    <t>https://docs.google.com/document/d/1cGXNRfh8xYPmxZvQ1_7s0Q8ESO-KAHIG5A15lylJzgA/edit?usp=sharing</t>
  </si>
  <si>
    <t>Mẫu đánh giá cấp quản lý:</t>
  </si>
  <si>
    <r>
      <rPr>
        <rFont val="Times New Roman"/>
        <color rgb="FF1155CC"/>
        <sz val="11.0"/>
        <u/>
      </rPr>
      <t>https://docs.google.com/document/d/1OmIeDfbiU70jcDPdAdVrmYz-kIfCPhoCyk8fIinPWqQ/edit?usp=sharing</t>
    </r>
    <r>
      <rPr>
        <rFont val="Times New Roman"/>
        <color rgb="FF000000"/>
        <sz val="11.0"/>
      </rPr>
      <t xml:space="preserve"> 
</t>
    </r>
  </si>
  <si>
    <t>Email</t>
  </si>
  <si>
    <t>zendatran298@gmail.com</t>
  </si>
  <si>
    <t>Đánh giá CBNV: Kế toán, HCNS, Kho HN, Kho HCM, Kinh Doanh 1- 2-3, Marketing, Trợ lý Vận Hành</t>
  </si>
  <si>
    <t>tuananhtran0794@gmail.com</t>
  </si>
  <si>
    <t>Đánh giá CBNV: Kế toán, HCNS, Kho HN, Kho HCM
Đánh giá Quản lý: Kinh Doanh 1- 2-3, Ban Lãnh Đạo</t>
  </si>
  <si>
    <t>phucanh.cba@gmail.com</t>
  </si>
  <si>
    <t>Đánh giá CBNV: Kế toán, Marketing,Trưởng Phòng Kinh Doanh 1-2-3
Đánh giá Quản lý: Kinh Doanh 2, Kinh Doanh 3, Ban Lãnh Đạo</t>
  </si>
  <si>
    <t>nguyenyen.3666@gmail.com</t>
  </si>
  <si>
    <t>Đánh giá CBNV: Phòng Kinh Doanh 1, Kinh Doanh 2, Kinh Doanh 3, Ban Lãnh Đạo, HCNS, Quản lý Kho HN, Quản lý kho HCM</t>
  </si>
  <si>
    <t>dungoc0710@gmail.com</t>
  </si>
  <si>
    <t>nguyenthuyth.2212@gmail.com</t>
  </si>
  <si>
    <t>ltngat739@gmail.com</t>
  </si>
  <si>
    <t>Đánh giá CBNV: Phòng Kinh Doanh 1, Kinh Doanh 2, Kinh Doanh 3, Ban Lãnh Đạo, Kế toán, Marketing, Quản lý Kho HN, Quản lý kho HCM</t>
  </si>
  <si>
    <t>lamnguyen.sira@gmail.com</t>
  </si>
  <si>
    <t>Đánh giá CBNV: Kế toán, Marketing, Kho HN, kho HCM, HCNS, Nhân viên phòng KD 2
Đánh giá Quản lý: Kinh Doanh 2, Kinh Doanh 3, Ban Lãnh Đạo</t>
  </si>
  <si>
    <t>P. KDAM2</t>
  </si>
  <si>
    <t>nguyendinhvan95.xm@gmail.com</t>
  </si>
  <si>
    <t>TP. Kinh doanh 2</t>
  </si>
  <si>
    <t>Đánh giá CBNV: Kế toán, Marketing, Kho HN, kho HCM, HCNS, Nhân viên phòng KD 2
Đánh giá Quản lý: Kinh Doanh 1, Kinh Doanh 3, Ban Lãnh Đạo</t>
  </si>
  <si>
    <t>Iphaiyen1106@gmail.com</t>
  </si>
  <si>
    <t>Đánh giá CBNV: Kế toán, HCNS, Marketing, Ban Lãnh Đạo, Nhân viên phòng KD 2
Đánh giá Quản lý: Kinh Doanh 2</t>
  </si>
  <si>
    <t>thangduong123ass@gmail.com</t>
  </si>
  <si>
    <t>nguyenthininh981@gmail.com</t>
  </si>
  <si>
    <t>roydoti12@gmail.com</t>
  </si>
  <si>
    <t>PKDAM3</t>
  </si>
  <si>
    <t>dinhvan.191095@gmail.com</t>
  </si>
  <si>
    <t>TP. Kinh doanh 3</t>
  </si>
  <si>
    <t>manhcuong012002@gmail.com</t>
  </si>
  <si>
    <t>Đánh giá CBNV: Kế toán, HCNS, Marketing, Ban Lãnh Đạo, Kho HN, Kho HCM
Đánh giá Quản lý: Kinh Doanh 3</t>
  </si>
  <si>
    <t>lamoanhfba@gmail.com</t>
  </si>
  <si>
    <t>Đánh giá CBNV: Kế toán, Kho HN, kho HCM, HCNS, Marketing + sàn
Đánh giá Quản lý: Kinh Doanh 1-2-3, Ban Lãnh Đạo</t>
  </si>
  <si>
    <t>thuyntph15796@gmail.com</t>
  </si>
  <si>
    <t>sayohyeah2301@gmail.com</t>
  </si>
  <si>
    <t>Đánh giá CBNV: Kế toán, HCNS, Kho HN, Kho HCM, Marketing + sàn
Đánh giá Quản lý: Trường nhóm MKT,  Ban Lãnh Đạo</t>
  </si>
  <si>
    <t>thuhaeva1307@gmail.com</t>
  </si>
  <si>
    <t>huyenthanhdigital243@gmail.com</t>
  </si>
  <si>
    <t>Luongquangk58hua@gmail.com</t>
  </si>
  <si>
    <t>Quản lý Kho HN</t>
  </si>
  <si>
    <t>Đánh giá CBNV: Kế toán, HCNS, Phòng Kinh Doanh 1-2-3, Kho HN + HCM, Marketing + sàn
Đánh giá Quản lý: Quản lý kho HN&amp;HCM,  Ban Lãnh Đạo</t>
  </si>
  <si>
    <t>ngaymai242@gmail.com</t>
  </si>
  <si>
    <t>Sinhtran03041993@gmail.com</t>
  </si>
  <si>
    <t>Quản lý Kho HCM</t>
  </si>
  <si>
    <t>nguyencancam95@gmail.com</t>
  </si>
  <si>
    <t>duongbaoluan2214@gmail.com</t>
  </si>
  <si>
    <t>employee_id</t>
  </si>
  <si>
    <t>name</t>
  </si>
  <si>
    <t>department</t>
  </si>
  <si>
    <t>position</t>
  </si>
  <si>
    <t>email</t>
  </si>
  <si>
    <t>P. KDAM3</t>
  </si>
  <si>
    <t>evaluator_id</t>
  </si>
  <si>
    <t>target_department</t>
  </si>
  <si>
    <t>target_type</t>
  </si>
  <si>
    <t>target_type: CBNV hoặc MANAGER</t>
  </si>
  <si>
    <t>criteria_id</t>
  </si>
  <si>
    <t>criteria_name</t>
  </si>
  <si>
    <t>timestamp</t>
  </si>
  <si>
    <t>evaluator_email</t>
  </si>
  <si>
    <t>target_id</t>
  </si>
  <si>
    <t>target_name</t>
  </si>
  <si>
    <t>score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</si>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</sst>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000000"/>
      <name val="Times New Roman"/>
    </font>
    <font/>
    <font>
      <sz val="11.0"/>
      <color rgb="FF000000"/>
      <name val="Times New Roman"/>
    </font>
    <font>
      <u/>
      <sz val="11.0"/>
      <color rgb="FF0000FF"/>
      <name val="Times New Roman"/>
    </font>
    <font>
      <sz val="11.0"/>
      <color theme="1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FF"/>
      <name val="Times New Roman"/>
    </font>
    <font>
      <sz val="12.0"/>
      <color theme="1"/>
      <name val="Times New Roman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2" fillId="3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1" fillId="5" fontId="10" numFmtId="0" xfId="0" applyAlignment="1" applyBorder="1" applyFill="1" applyFont="1">
      <alignment horizontal="center" readingOrder="0"/>
    </xf>
    <xf borderId="1" fillId="5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9" numFmtId="0" xfId="0" applyAlignment="1" applyBorder="1" applyFont="1">
      <alignment readingOrder="0" vertic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il.sira.vn/" TargetMode="External"/><Relationship Id="rId2" Type="http://schemas.openxmlformats.org/officeDocument/2006/relationships/hyperlink" Target="http://vannd.hn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xgW-NPig3GBdIqNeq1NMGx9BbyZ_oKWG1zeQmcml2g/edit?tab=t.0" TargetMode="External"/><Relationship Id="rId2" Type="http://schemas.openxmlformats.org/officeDocument/2006/relationships/hyperlink" Target="https://docs.google.com/document/d/1cGXNRfh8xYPmxZvQ1_7s0Q8ESO-KAHIG5A15lylJzgA/edit?usp=sharing" TargetMode="External"/><Relationship Id="rId3" Type="http://schemas.openxmlformats.org/officeDocument/2006/relationships/hyperlink" Target="https://docs.google.com/document/d/1OmIeDfbiU70jcDPdAdVrmYz-kIfCPhoCyk8fIinPWqQ/edit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Row="1"/>
  <cols>
    <col customWidth="1" min="1" max="1" width="6.25"/>
    <col customWidth="1" min="2" max="2" width="21.75"/>
    <col customWidth="1" min="3" max="3" width="19.0"/>
    <col customWidth="1" min="4" max="6" width="57.13"/>
  </cols>
  <sheetData>
    <row r="1" ht="25.5" customHeight="1" outlineLevel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37.5" customHeight="1">
      <c r="A2" s="3" t="s">
        <v>6</v>
      </c>
      <c r="B2" s="4"/>
      <c r="C2" s="5"/>
      <c r="D2" s="6"/>
      <c r="E2" s="7"/>
      <c r="F2" s="7"/>
    </row>
    <row r="3" ht="30.75" customHeight="1">
      <c r="A3" s="8">
        <f t="shared" ref="A3:A7" si="1">ROW()-2</f>
        <v>1</v>
      </c>
      <c r="B3" s="9" t="s">
        <v>7</v>
      </c>
      <c r="C3" s="10" t="s">
        <v>8</v>
      </c>
      <c r="E3" s="10" t="s">
        <v>9</v>
      </c>
      <c r="F3" s="11" t="s">
        <v>10</v>
      </c>
    </row>
    <row r="4" ht="30.75" customHeight="1">
      <c r="A4" s="8">
        <f t="shared" si="1"/>
        <v>2</v>
      </c>
      <c r="B4" s="9" t="s">
        <v>11</v>
      </c>
      <c r="C4" s="12" t="s">
        <v>12</v>
      </c>
      <c r="E4" s="10" t="s">
        <v>13</v>
      </c>
      <c r="F4" s="13" t="s">
        <v>14</v>
      </c>
    </row>
    <row r="5" ht="30.75" customHeight="1">
      <c r="A5" s="8">
        <f t="shared" si="1"/>
        <v>3</v>
      </c>
      <c r="B5" s="9" t="s">
        <v>15</v>
      </c>
      <c r="C5" s="12" t="s">
        <v>16</v>
      </c>
      <c r="E5" s="10" t="s">
        <v>17</v>
      </c>
      <c r="F5" s="13" t="s">
        <v>14</v>
      </c>
    </row>
    <row r="6" ht="30.75" customHeight="1">
      <c r="A6" s="8">
        <f t="shared" si="1"/>
        <v>4</v>
      </c>
      <c r="B6" s="9" t="s">
        <v>18</v>
      </c>
      <c r="C6" s="10" t="s">
        <v>19</v>
      </c>
      <c r="E6" s="10" t="s">
        <v>20</v>
      </c>
      <c r="F6" s="13" t="s">
        <v>14</v>
      </c>
    </row>
    <row r="7" ht="30.75" customHeight="1">
      <c r="A7" s="8">
        <f t="shared" si="1"/>
        <v>5</v>
      </c>
      <c r="B7" s="9" t="s">
        <v>21</v>
      </c>
      <c r="C7" s="10" t="s">
        <v>22</v>
      </c>
      <c r="D7" s="10" t="s">
        <v>23</v>
      </c>
      <c r="E7" s="14" t="s">
        <v>24</v>
      </c>
      <c r="F7" s="14"/>
    </row>
    <row r="8" ht="37.5" customHeight="1">
      <c r="A8" s="15" t="s">
        <v>25</v>
      </c>
      <c r="B8" s="4"/>
      <c r="C8" s="5"/>
      <c r="D8" s="6"/>
      <c r="E8" s="7"/>
      <c r="F8" s="7"/>
    </row>
    <row r="9" ht="30.75" customHeight="1">
      <c r="A9" s="8">
        <f t="shared" ref="A9:A12" si="2">ROW()-3</f>
        <v>6</v>
      </c>
      <c r="B9" s="9" t="s">
        <v>26</v>
      </c>
      <c r="C9" s="10" t="s">
        <v>27</v>
      </c>
      <c r="D9" s="10" t="s">
        <v>28</v>
      </c>
      <c r="E9" s="14" t="s">
        <v>29</v>
      </c>
      <c r="F9" s="13" t="s">
        <v>14</v>
      </c>
    </row>
    <row r="10" ht="30.75" customHeight="1">
      <c r="A10" s="16">
        <f t="shared" si="2"/>
        <v>7</v>
      </c>
      <c r="B10" s="17" t="s">
        <v>30</v>
      </c>
      <c r="C10" s="18" t="s">
        <v>31</v>
      </c>
      <c r="D10" s="19"/>
      <c r="E10" s="20" t="s">
        <v>32</v>
      </c>
      <c r="F10" s="13" t="s">
        <v>14</v>
      </c>
    </row>
    <row r="11" ht="30.75" customHeight="1">
      <c r="A11" s="16">
        <f t="shared" si="2"/>
        <v>8</v>
      </c>
      <c r="B11" s="17" t="s">
        <v>33</v>
      </c>
      <c r="C11" s="18" t="s">
        <v>34</v>
      </c>
      <c r="D11" s="19"/>
      <c r="E11" s="20" t="s">
        <v>35</v>
      </c>
      <c r="F11" s="13" t="s">
        <v>14</v>
      </c>
    </row>
    <row r="12" ht="30.75" customHeight="1">
      <c r="A12" s="8">
        <f t="shared" si="2"/>
        <v>9</v>
      </c>
      <c r="B12" s="9" t="s">
        <v>36</v>
      </c>
      <c r="C12" s="12" t="s">
        <v>37</v>
      </c>
      <c r="D12" s="6"/>
      <c r="E12" s="14" t="s">
        <v>38</v>
      </c>
      <c r="F12" s="13" t="s">
        <v>14</v>
      </c>
    </row>
    <row r="13" ht="37.5" customHeight="1">
      <c r="A13" s="15" t="s">
        <v>39</v>
      </c>
      <c r="B13" s="4"/>
      <c r="C13" s="5"/>
      <c r="D13" s="6"/>
      <c r="E13" s="7"/>
      <c r="F13" s="7"/>
    </row>
    <row r="14" ht="30.75" customHeight="1">
      <c r="A14" s="8">
        <f t="shared" ref="A14:A17" si="3">ROW()-4</f>
        <v>10</v>
      </c>
      <c r="B14" s="9" t="s">
        <v>40</v>
      </c>
      <c r="C14" s="12" t="s">
        <v>41</v>
      </c>
      <c r="D14" s="6"/>
      <c r="E14" s="14" t="s">
        <v>42</v>
      </c>
      <c r="F14" s="13" t="s">
        <v>14</v>
      </c>
    </row>
    <row r="15" ht="30.75" customHeight="1">
      <c r="A15" s="8">
        <f t="shared" si="3"/>
        <v>11</v>
      </c>
      <c r="B15" s="21" t="s">
        <v>43</v>
      </c>
      <c r="C15" s="22" t="s">
        <v>41</v>
      </c>
      <c r="D15" s="23" t="s">
        <v>44</v>
      </c>
      <c r="E15" s="24" t="s">
        <v>45</v>
      </c>
      <c r="F15" s="13" t="s">
        <v>14</v>
      </c>
    </row>
    <row r="16" ht="30.75" customHeight="1">
      <c r="A16" s="8">
        <f t="shared" si="3"/>
        <v>12</v>
      </c>
      <c r="B16" s="9" t="s">
        <v>46</v>
      </c>
      <c r="C16" s="12" t="s">
        <v>41</v>
      </c>
      <c r="D16" s="10" t="s">
        <v>47</v>
      </c>
      <c r="E16" s="14" t="s">
        <v>48</v>
      </c>
      <c r="F16" s="13" t="s">
        <v>14</v>
      </c>
    </row>
    <row r="17" ht="30.75" customHeight="1">
      <c r="A17" s="8">
        <f t="shared" si="3"/>
        <v>13</v>
      </c>
      <c r="B17" s="9" t="s">
        <v>49</v>
      </c>
      <c r="C17" s="12" t="s">
        <v>50</v>
      </c>
      <c r="D17" s="6"/>
      <c r="E17" s="14" t="s">
        <v>51</v>
      </c>
      <c r="F17" s="13" t="s">
        <v>14</v>
      </c>
    </row>
    <row r="18" ht="37.5" customHeight="1">
      <c r="A18" s="15" t="s">
        <v>52</v>
      </c>
      <c r="B18" s="4"/>
      <c r="C18" s="5"/>
      <c r="D18" s="6"/>
      <c r="E18" s="7"/>
      <c r="F18" s="7"/>
    </row>
    <row r="19" ht="30.75" customHeight="1">
      <c r="A19" s="8">
        <f t="shared" ref="A19:A23" si="4">ROW()-5</f>
        <v>14</v>
      </c>
      <c r="B19" s="17" t="s">
        <v>53</v>
      </c>
      <c r="C19" s="12" t="s">
        <v>54</v>
      </c>
      <c r="D19" s="6"/>
      <c r="E19" s="14" t="s">
        <v>55</v>
      </c>
      <c r="F19" s="13" t="s">
        <v>14</v>
      </c>
    </row>
    <row r="20" ht="30.75" customHeight="1">
      <c r="A20" s="8">
        <f t="shared" si="4"/>
        <v>15</v>
      </c>
      <c r="B20" s="17" t="s">
        <v>56</v>
      </c>
      <c r="C20" s="12" t="s">
        <v>57</v>
      </c>
      <c r="D20" s="6"/>
      <c r="E20" s="14" t="s">
        <v>58</v>
      </c>
      <c r="F20" s="13" t="s">
        <v>14</v>
      </c>
    </row>
    <row r="21" ht="30.75" customHeight="1">
      <c r="A21" s="8">
        <f t="shared" si="4"/>
        <v>16</v>
      </c>
      <c r="B21" s="17" t="s">
        <v>59</v>
      </c>
      <c r="C21" s="12" t="s">
        <v>60</v>
      </c>
      <c r="D21" s="6"/>
      <c r="E21" s="14" t="s">
        <v>61</v>
      </c>
      <c r="F21" s="13" t="s">
        <v>14</v>
      </c>
    </row>
    <row r="22" ht="30.75" customHeight="1">
      <c r="A22" s="8">
        <f t="shared" si="4"/>
        <v>17</v>
      </c>
      <c r="B22" s="17" t="s">
        <v>62</v>
      </c>
      <c r="C22" s="12" t="s">
        <v>63</v>
      </c>
      <c r="D22" s="6"/>
      <c r="E22" s="25" t="s">
        <v>64</v>
      </c>
      <c r="F22" s="13" t="s">
        <v>14</v>
      </c>
    </row>
    <row r="23" ht="30.75" customHeight="1">
      <c r="A23" s="8">
        <f t="shared" si="4"/>
        <v>18</v>
      </c>
      <c r="B23" s="9" t="s">
        <v>65</v>
      </c>
      <c r="C23" s="12" t="s">
        <v>60</v>
      </c>
      <c r="D23" s="6"/>
      <c r="E23" s="14" t="s">
        <v>66</v>
      </c>
      <c r="F23" s="13" t="s">
        <v>14</v>
      </c>
    </row>
    <row r="24" ht="37.5" customHeight="1">
      <c r="A24" s="15" t="s">
        <v>67</v>
      </c>
      <c r="B24" s="4"/>
      <c r="C24" s="5"/>
      <c r="D24" s="6"/>
      <c r="E24" s="7"/>
      <c r="F24" s="7"/>
    </row>
    <row r="25" ht="30.75" customHeight="1">
      <c r="A25" s="8">
        <f t="shared" ref="A25:A29" si="5">ROW()-6</f>
        <v>19</v>
      </c>
      <c r="B25" s="9" t="s">
        <v>68</v>
      </c>
      <c r="C25" s="12" t="s">
        <v>69</v>
      </c>
      <c r="D25" s="6"/>
      <c r="E25" s="14" t="s">
        <v>70</v>
      </c>
      <c r="F25" s="13" t="s">
        <v>14</v>
      </c>
    </row>
    <row r="26" ht="30.75" customHeight="1">
      <c r="A26" s="8">
        <f t="shared" si="5"/>
        <v>20</v>
      </c>
      <c r="B26" s="9" t="s">
        <v>71</v>
      </c>
      <c r="C26" s="12" t="s">
        <v>72</v>
      </c>
      <c r="D26" s="10" t="s">
        <v>47</v>
      </c>
      <c r="E26" s="14" t="s">
        <v>73</v>
      </c>
      <c r="F26" s="13" t="s">
        <v>14</v>
      </c>
    </row>
    <row r="27" ht="30.75" customHeight="1">
      <c r="A27" s="8">
        <f t="shared" si="5"/>
        <v>21</v>
      </c>
      <c r="B27" s="9" t="s">
        <v>74</v>
      </c>
      <c r="C27" s="12" t="s">
        <v>75</v>
      </c>
      <c r="D27" s="6"/>
      <c r="E27" s="14" t="s">
        <v>76</v>
      </c>
      <c r="F27" s="13" t="s">
        <v>14</v>
      </c>
    </row>
    <row r="28" ht="30.75" customHeight="1">
      <c r="A28" s="8">
        <f t="shared" si="5"/>
        <v>22</v>
      </c>
      <c r="B28" s="9" t="s">
        <v>77</v>
      </c>
      <c r="C28" s="12" t="s">
        <v>78</v>
      </c>
      <c r="D28" s="6"/>
      <c r="E28" s="14" t="s">
        <v>79</v>
      </c>
      <c r="F28" s="13" t="s">
        <v>14</v>
      </c>
    </row>
    <row r="29" ht="30.75" customHeight="1">
      <c r="A29" s="8">
        <f t="shared" si="5"/>
        <v>23</v>
      </c>
      <c r="B29" s="9" t="s">
        <v>80</v>
      </c>
      <c r="C29" s="10" t="s">
        <v>72</v>
      </c>
      <c r="D29" s="6"/>
      <c r="E29" s="14" t="s">
        <v>81</v>
      </c>
      <c r="F29" s="13" t="s">
        <v>14</v>
      </c>
    </row>
    <row r="30" ht="37.5" customHeight="1">
      <c r="A30" s="26" t="s">
        <v>82</v>
      </c>
      <c r="B30" s="4"/>
      <c r="C30" s="5"/>
      <c r="D30" s="6"/>
      <c r="E30" s="7"/>
      <c r="F30" s="7"/>
    </row>
    <row r="31" ht="30.75" customHeight="1">
      <c r="A31" s="8">
        <f t="shared" ref="A31:A33" si="6">ROW()-7</f>
        <v>24</v>
      </c>
      <c r="B31" s="9" t="s">
        <v>83</v>
      </c>
      <c r="C31" s="12" t="s">
        <v>84</v>
      </c>
      <c r="D31" s="6"/>
      <c r="E31" s="14" t="s">
        <v>85</v>
      </c>
      <c r="F31" s="13" t="s">
        <v>14</v>
      </c>
    </row>
    <row r="32" ht="30.75" customHeight="1">
      <c r="A32" s="8">
        <f t="shared" si="6"/>
        <v>25</v>
      </c>
      <c r="B32" s="9" t="s">
        <v>86</v>
      </c>
      <c r="C32" s="12" t="s">
        <v>84</v>
      </c>
      <c r="D32" s="6"/>
      <c r="E32" s="14" t="s">
        <v>87</v>
      </c>
      <c r="F32" s="13" t="s">
        <v>14</v>
      </c>
    </row>
    <row r="33" ht="30.75" customHeight="1">
      <c r="A33" s="16">
        <f t="shared" si="6"/>
        <v>26</v>
      </c>
      <c r="B33" s="17" t="s">
        <v>88</v>
      </c>
      <c r="C33" s="27" t="s">
        <v>89</v>
      </c>
      <c r="D33" s="18" t="s">
        <v>47</v>
      </c>
      <c r="E33" s="20" t="s">
        <v>90</v>
      </c>
      <c r="F33" s="13" t="s">
        <v>14</v>
      </c>
    </row>
    <row r="34" ht="30.75" customHeight="1">
      <c r="A34" s="26" t="s">
        <v>91</v>
      </c>
      <c r="B34" s="4"/>
      <c r="C34" s="5"/>
      <c r="D34" s="6"/>
      <c r="E34" s="7"/>
      <c r="F34" s="13"/>
    </row>
    <row r="35" ht="30.75" customHeight="1">
      <c r="A35" s="8">
        <f t="shared" ref="A35:A37" si="7">ROW()-8</f>
        <v>27</v>
      </c>
      <c r="B35" s="9" t="s">
        <v>92</v>
      </c>
      <c r="C35" s="12" t="s">
        <v>84</v>
      </c>
      <c r="D35" s="6"/>
      <c r="E35" s="14" t="s">
        <v>93</v>
      </c>
      <c r="F35" s="13" t="s">
        <v>14</v>
      </c>
    </row>
    <row r="36" ht="30.75" customHeight="1">
      <c r="A36" s="8">
        <f t="shared" si="7"/>
        <v>28</v>
      </c>
      <c r="B36" s="28" t="s">
        <v>94</v>
      </c>
      <c r="C36" s="12" t="s">
        <v>84</v>
      </c>
      <c r="D36" s="7"/>
      <c r="E36" s="14" t="s">
        <v>95</v>
      </c>
      <c r="F36" s="13" t="s">
        <v>14</v>
      </c>
    </row>
    <row r="37" ht="30.75" customHeight="1">
      <c r="A37" s="8">
        <f t="shared" si="7"/>
        <v>29</v>
      </c>
      <c r="B37" s="28" t="s">
        <v>96</v>
      </c>
      <c r="C37" s="12" t="s">
        <v>84</v>
      </c>
      <c r="D37" s="7"/>
      <c r="E37" s="14" t="s">
        <v>97</v>
      </c>
      <c r="F37" s="13" t="s">
        <v>14</v>
      </c>
    </row>
    <row r="38" ht="30.75" customHeight="1">
      <c r="A38" s="29"/>
      <c r="B38" s="28"/>
      <c r="C38" s="14"/>
      <c r="D38" s="7"/>
      <c r="E38" s="14"/>
      <c r="F38" s="13"/>
    </row>
  </sheetData>
  <customSheetViews>
    <customSheetView guid="{9BD6ACEA-7BF5-4A40-B712-B5AABA76F807}" filter="1" showAutoFilter="1">
      <autoFilter ref="$A$2:$D$37"/>
    </customSheetView>
  </customSheetViews>
  <mergeCells count="7">
    <mergeCell ref="A2:C2"/>
    <mergeCell ref="A8:C8"/>
    <mergeCell ref="A13:C13"/>
    <mergeCell ref="A18:C18"/>
    <mergeCell ref="A24:C24"/>
    <mergeCell ref="A30:C30"/>
    <mergeCell ref="A34:C34"/>
  </mergeCells>
  <hyperlinks>
    <hyperlink r:id="rId1" ref="F3"/>
    <hyperlink r:id="rId2" ref="E22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8.75"/>
    <col customWidth="1" min="2" max="2" width="57.13"/>
  </cols>
  <sheetData>
    <row r="1" ht="25.5" customHeight="1" outlineLevel="1">
      <c r="A1" s="30" t="s">
        <v>98</v>
      </c>
      <c r="B1" s="30" t="s">
        <v>99</v>
      </c>
    </row>
    <row r="2" ht="30.75" customHeight="1">
      <c r="A2" s="31" t="s">
        <v>100</v>
      </c>
      <c r="B2" s="32" t="s">
        <v>101</v>
      </c>
    </row>
    <row r="3" ht="30.75" customHeight="1">
      <c r="A3" s="31" t="s">
        <v>102</v>
      </c>
      <c r="B3" s="32" t="s">
        <v>103</v>
      </c>
    </row>
    <row r="4" ht="30.75" customHeight="1">
      <c r="A4" s="31" t="s">
        <v>104</v>
      </c>
      <c r="B4" s="33" t="s">
        <v>105</v>
      </c>
    </row>
    <row r="5" ht="30.75" customHeight="1">
      <c r="A5" s="31" t="s">
        <v>106</v>
      </c>
      <c r="B5" s="32" t="s">
        <v>107</v>
      </c>
    </row>
    <row r="6" ht="30.75" customHeight="1">
      <c r="A6" s="8"/>
      <c r="B6" s="10"/>
    </row>
  </sheetData>
  <hyperlinks>
    <hyperlink r:id="rId1" ref="B2"/>
    <hyperlink display="https://docs.google.com/spreadsheets/d/1tXLOOPHF-PzjxawZvoJjMn8UYG26abwU_EQvHIvOhko/edit?gid=1309404796#gid=1309404796 " location="'PHÒNG BAN PHỐI HỢP ĐÁNH GIÁ'!A1" ref="B3"/>
    <hyperlink r:id="rId2" ref="B4"/>
    <hyperlink r:id="rId3" ref="B5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Row="1"/>
  <cols>
    <col customWidth="1" min="1" max="1" width="4.38"/>
    <col customWidth="1" min="2" max="2" width="21.75"/>
    <col customWidth="1" min="3" max="3" width="39.5"/>
    <col customWidth="1" min="4" max="4" width="19.0"/>
    <col customWidth="1" min="5" max="5" width="57.13"/>
  </cols>
  <sheetData>
    <row r="1" ht="25.5" customHeight="1" outlineLevel="1">
      <c r="A1" s="1" t="s">
        <v>0</v>
      </c>
      <c r="B1" s="1" t="s">
        <v>1</v>
      </c>
      <c r="C1" s="30" t="s">
        <v>108</v>
      </c>
      <c r="D1" s="1" t="s">
        <v>2</v>
      </c>
      <c r="E1" s="1" t="s">
        <v>3</v>
      </c>
    </row>
    <row r="2" ht="37.5" customHeight="1">
      <c r="A2" s="3" t="s">
        <v>6</v>
      </c>
      <c r="B2" s="4"/>
      <c r="C2" s="4"/>
      <c r="D2" s="5"/>
      <c r="E2" s="6"/>
    </row>
    <row r="3" ht="30.75" customHeight="1">
      <c r="A3" s="8">
        <f t="shared" ref="A3:A6" si="1">ROW()-2</f>
        <v>1</v>
      </c>
      <c r="B3" s="9" t="s">
        <v>7</v>
      </c>
      <c r="C3" s="10" t="s">
        <v>109</v>
      </c>
      <c r="D3" s="10" t="s">
        <v>8</v>
      </c>
      <c r="E3" s="10" t="s">
        <v>110</v>
      </c>
    </row>
    <row r="4" ht="30.75" customHeight="1">
      <c r="A4" s="8">
        <f t="shared" si="1"/>
        <v>2</v>
      </c>
      <c r="B4" s="9" t="s">
        <v>15</v>
      </c>
      <c r="C4" s="10" t="s">
        <v>111</v>
      </c>
      <c r="D4" s="12" t="s">
        <v>16</v>
      </c>
      <c r="E4" s="10" t="s">
        <v>112</v>
      </c>
    </row>
    <row r="5" ht="30.75" customHeight="1">
      <c r="A5" s="8">
        <f t="shared" si="1"/>
        <v>3</v>
      </c>
      <c r="B5" s="9" t="s">
        <v>18</v>
      </c>
      <c r="C5" s="34" t="s">
        <v>113</v>
      </c>
      <c r="D5" s="10" t="s">
        <v>19</v>
      </c>
      <c r="E5" s="10" t="s">
        <v>114</v>
      </c>
    </row>
    <row r="6" ht="30.75" hidden="1" customHeight="1">
      <c r="A6" s="8">
        <f t="shared" si="1"/>
        <v>4</v>
      </c>
      <c r="B6" s="9" t="s">
        <v>21</v>
      </c>
      <c r="C6" s="10" t="s">
        <v>113</v>
      </c>
      <c r="D6" s="10" t="s">
        <v>22</v>
      </c>
      <c r="E6" s="10" t="s">
        <v>23</v>
      </c>
    </row>
    <row r="7" ht="37.5" customHeight="1">
      <c r="A7" s="15" t="s">
        <v>25</v>
      </c>
      <c r="B7" s="4"/>
      <c r="C7" s="4"/>
      <c r="D7" s="5"/>
      <c r="E7" s="6"/>
    </row>
    <row r="8">
      <c r="A8" s="8">
        <f t="shared" ref="A8:A11" si="2">ROW()-3</f>
        <v>5</v>
      </c>
      <c r="B8" s="9" t="s">
        <v>26</v>
      </c>
      <c r="C8" s="10" t="s">
        <v>115</v>
      </c>
      <c r="D8" s="10" t="s">
        <v>27</v>
      </c>
      <c r="E8" s="10" t="s">
        <v>116</v>
      </c>
    </row>
    <row r="9">
      <c r="A9" s="16">
        <f t="shared" si="2"/>
        <v>6</v>
      </c>
      <c r="B9" s="17" t="s">
        <v>30</v>
      </c>
      <c r="C9" s="18" t="s">
        <v>117</v>
      </c>
      <c r="D9" s="18" t="s">
        <v>31</v>
      </c>
      <c r="E9" s="10" t="s">
        <v>116</v>
      </c>
    </row>
    <row r="10">
      <c r="A10" s="16">
        <f t="shared" si="2"/>
        <v>7</v>
      </c>
      <c r="B10" s="17" t="s">
        <v>33</v>
      </c>
      <c r="C10" s="18" t="s">
        <v>118</v>
      </c>
      <c r="D10" s="18" t="s">
        <v>34</v>
      </c>
      <c r="E10" s="10" t="s">
        <v>116</v>
      </c>
    </row>
    <row r="11">
      <c r="A11" s="8">
        <f t="shared" si="2"/>
        <v>8</v>
      </c>
      <c r="B11" s="9" t="s">
        <v>36</v>
      </c>
      <c r="C11" s="12" t="s">
        <v>119</v>
      </c>
      <c r="D11" s="12" t="s">
        <v>37</v>
      </c>
      <c r="E11" s="10" t="s">
        <v>120</v>
      </c>
    </row>
    <row r="12" ht="37.5" customHeight="1">
      <c r="A12" s="15" t="s">
        <v>39</v>
      </c>
      <c r="B12" s="4"/>
      <c r="C12" s="4"/>
      <c r="D12" s="5"/>
      <c r="E12" s="6"/>
    </row>
    <row r="13">
      <c r="A13" s="8">
        <f t="shared" ref="A13:A14" si="3">ROW()-4</f>
        <v>9</v>
      </c>
      <c r="B13" s="9" t="s">
        <v>40</v>
      </c>
      <c r="C13" s="12" t="s">
        <v>121</v>
      </c>
      <c r="D13" s="12" t="s">
        <v>41</v>
      </c>
      <c r="E13" s="10" t="s">
        <v>122</v>
      </c>
    </row>
    <row r="14" ht="30.75" hidden="1" customHeight="1">
      <c r="A14" s="8">
        <f t="shared" si="3"/>
        <v>10</v>
      </c>
      <c r="B14" s="21" t="s">
        <v>43</v>
      </c>
      <c r="C14" s="22"/>
      <c r="D14" s="22" t="s">
        <v>41</v>
      </c>
      <c r="E14" s="23" t="s">
        <v>44</v>
      </c>
    </row>
    <row r="15" ht="37.5" customHeight="1">
      <c r="A15" s="15" t="s">
        <v>123</v>
      </c>
      <c r="B15" s="4"/>
      <c r="C15" s="4"/>
      <c r="D15" s="5"/>
      <c r="E15" s="6"/>
    </row>
    <row r="16">
      <c r="A16" s="8">
        <f t="shared" ref="A16:A18" si="4">ROW()-5</f>
        <v>11</v>
      </c>
      <c r="B16" s="17" t="s">
        <v>62</v>
      </c>
      <c r="C16" s="12" t="s">
        <v>124</v>
      </c>
      <c r="D16" s="12" t="s">
        <v>125</v>
      </c>
      <c r="E16" s="10" t="s">
        <v>126</v>
      </c>
    </row>
    <row r="17">
      <c r="A17" s="8">
        <f t="shared" si="4"/>
        <v>12</v>
      </c>
      <c r="B17" s="17" t="s">
        <v>56</v>
      </c>
      <c r="C17" s="12" t="s">
        <v>127</v>
      </c>
      <c r="D17" s="12" t="s">
        <v>57</v>
      </c>
      <c r="E17" s="10" t="s">
        <v>128</v>
      </c>
    </row>
    <row r="18">
      <c r="A18" s="8">
        <f t="shared" si="4"/>
        <v>13</v>
      </c>
      <c r="B18" s="17" t="s">
        <v>59</v>
      </c>
      <c r="C18" s="12" t="s">
        <v>129</v>
      </c>
      <c r="D18" s="12" t="s">
        <v>60</v>
      </c>
      <c r="E18" s="10" t="s">
        <v>128</v>
      </c>
    </row>
    <row r="19" ht="30.75" customHeight="1">
      <c r="A19" s="8">
        <f t="shared" ref="A19:A20" si="5">ROW()-4</f>
        <v>15</v>
      </c>
      <c r="B19" s="9" t="s">
        <v>46</v>
      </c>
      <c r="C19" s="12" t="s">
        <v>130</v>
      </c>
      <c r="D19" s="12" t="s">
        <v>41</v>
      </c>
      <c r="E19" s="10" t="s">
        <v>47</v>
      </c>
    </row>
    <row r="20">
      <c r="A20" s="8">
        <f t="shared" si="5"/>
        <v>16</v>
      </c>
      <c r="B20" s="9" t="s">
        <v>49</v>
      </c>
      <c r="C20" s="12" t="s">
        <v>131</v>
      </c>
      <c r="D20" s="12" t="s">
        <v>50</v>
      </c>
      <c r="E20" s="10" t="s">
        <v>128</v>
      </c>
    </row>
    <row r="21" ht="37.5" customHeight="1">
      <c r="A21" s="15" t="s">
        <v>132</v>
      </c>
      <c r="B21" s="4"/>
      <c r="C21" s="4"/>
      <c r="D21" s="5"/>
      <c r="E21" s="6"/>
    </row>
    <row r="22" ht="30.75" customHeight="1">
      <c r="A22" s="8">
        <f t="shared" ref="A22:A23" si="6">ROW()-5</f>
        <v>17</v>
      </c>
      <c r="B22" s="17" t="s">
        <v>53</v>
      </c>
      <c r="C22" s="12" t="s">
        <v>133</v>
      </c>
      <c r="D22" s="12" t="s">
        <v>134</v>
      </c>
      <c r="E22" s="6"/>
    </row>
    <row r="23">
      <c r="A23" s="8">
        <f t="shared" si="6"/>
        <v>18</v>
      </c>
      <c r="B23" s="9" t="s">
        <v>65</v>
      </c>
      <c r="C23" s="12" t="s">
        <v>135</v>
      </c>
      <c r="D23" s="12" t="s">
        <v>60</v>
      </c>
      <c r="E23" s="10" t="s">
        <v>136</v>
      </c>
    </row>
    <row r="24" ht="37.5" customHeight="1">
      <c r="A24" s="15" t="s">
        <v>67</v>
      </c>
      <c r="B24" s="4"/>
      <c r="C24" s="4"/>
      <c r="D24" s="5"/>
      <c r="E24" s="6"/>
    </row>
    <row r="25" ht="30.75" customHeight="1">
      <c r="A25" s="8">
        <f t="shared" ref="A25:A29" si="7">ROW()-6</f>
        <v>19</v>
      </c>
      <c r="B25" s="9" t="s">
        <v>68</v>
      </c>
      <c r="C25" s="12" t="s">
        <v>137</v>
      </c>
      <c r="D25" s="12" t="s">
        <v>69</v>
      </c>
      <c r="E25" s="10" t="s">
        <v>138</v>
      </c>
    </row>
    <row r="26" ht="30.75" customHeight="1">
      <c r="A26" s="8">
        <f t="shared" si="7"/>
        <v>20</v>
      </c>
      <c r="B26" s="9" t="s">
        <v>71</v>
      </c>
      <c r="C26" s="12" t="s">
        <v>139</v>
      </c>
      <c r="D26" s="12" t="s">
        <v>72</v>
      </c>
      <c r="E26" s="10" t="s">
        <v>47</v>
      </c>
    </row>
    <row r="27" ht="30.75" customHeight="1">
      <c r="A27" s="8">
        <f t="shared" si="7"/>
        <v>21</v>
      </c>
      <c r="B27" s="9" t="s">
        <v>74</v>
      </c>
      <c r="C27" s="12" t="s">
        <v>140</v>
      </c>
      <c r="D27" s="12" t="s">
        <v>75</v>
      </c>
      <c r="E27" s="10" t="s">
        <v>141</v>
      </c>
    </row>
    <row r="28" ht="30.75" customHeight="1">
      <c r="A28" s="8">
        <f t="shared" si="7"/>
        <v>22</v>
      </c>
      <c r="B28" s="9" t="s">
        <v>77</v>
      </c>
      <c r="C28" s="12" t="s">
        <v>142</v>
      </c>
      <c r="D28" s="12" t="s">
        <v>78</v>
      </c>
      <c r="E28" s="10" t="s">
        <v>141</v>
      </c>
    </row>
    <row r="29" ht="30.75" customHeight="1">
      <c r="A29" s="8">
        <f t="shared" si="7"/>
        <v>23</v>
      </c>
      <c r="B29" s="9" t="s">
        <v>80</v>
      </c>
      <c r="C29" s="10" t="s">
        <v>143</v>
      </c>
      <c r="D29" s="10" t="s">
        <v>72</v>
      </c>
      <c r="E29" s="10" t="s">
        <v>141</v>
      </c>
    </row>
    <row r="30" ht="37.5" customHeight="1">
      <c r="A30" s="26" t="s">
        <v>82</v>
      </c>
      <c r="B30" s="4"/>
      <c r="C30" s="4"/>
      <c r="D30" s="5"/>
      <c r="E30" s="6"/>
    </row>
    <row r="31">
      <c r="A31" s="8">
        <f t="shared" ref="A31:A33" si="8">ROW()-7</f>
        <v>24</v>
      </c>
      <c r="B31" s="9" t="s">
        <v>83</v>
      </c>
      <c r="C31" s="12" t="s">
        <v>144</v>
      </c>
      <c r="D31" s="12" t="s">
        <v>145</v>
      </c>
      <c r="E31" s="10" t="s">
        <v>146</v>
      </c>
    </row>
    <row r="32">
      <c r="A32" s="8">
        <f t="shared" si="8"/>
        <v>25</v>
      </c>
      <c r="B32" s="9" t="s">
        <v>86</v>
      </c>
      <c r="C32" s="12" t="s">
        <v>147</v>
      </c>
      <c r="D32" s="12" t="s">
        <v>84</v>
      </c>
      <c r="E32" s="10" t="s">
        <v>146</v>
      </c>
    </row>
    <row r="33" ht="30.75" hidden="1" customHeight="1">
      <c r="A33" s="16">
        <f t="shared" si="8"/>
        <v>26</v>
      </c>
      <c r="B33" s="17" t="s">
        <v>88</v>
      </c>
      <c r="C33" s="27"/>
      <c r="D33" s="27" t="s">
        <v>89</v>
      </c>
      <c r="E33" s="18" t="s">
        <v>47</v>
      </c>
    </row>
    <row r="34" ht="30.75" customHeight="1">
      <c r="A34" s="26" t="s">
        <v>91</v>
      </c>
      <c r="B34" s="4"/>
      <c r="C34" s="4"/>
      <c r="D34" s="5"/>
      <c r="E34" s="6"/>
    </row>
    <row r="35">
      <c r="A35" s="8">
        <f t="shared" ref="A35:A37" si="9">ROW()-8</f>
        <v>27</v>
      </c>
      <c r="B35" s="9" t="s">
        <v>92</v>
      </c>
      <c r="C35" s="12" t="s">
        <v>148</v>
      </c>
      <c r="D35" s="12" t="s">
        <v>149</v>
      </c>
      <c r="E35" s="10" t="s">
        <v>146</v>
      </c>
    </row>
    <row r="36" ht="30.75" customHeight="1">
      <c r="A36" s="8">
        <f t="shared" si="9"/>
        <v>28</v>
      </c>
      <c r="B36" s="9" t="s">
        <v>94</v>
      </c>
      <c r="C36" s="12" t="s">
        <v>150</v>
      </c>
      <c r="D36" s="12" t="s">
        <v>84</v>
      </c>
      <c r="E36" s="10" t="s">
        <v>146</v>
      </c>
    </row>
    <row r="37" ht="30.75" customHeight="1">
      <c r="A37" s="8">
        <f t="shared" si="9"/>
        <v>29</v>
      </c>
      <c r="B37" s="9" t="s">
        <v>96</v>
      </c>
      <c r="C37" s="10" t="s">
        <v>151</v>
      </c>
      <c r="D37" s="10" t="s">
        <v>84</v>
      </c>
      <c r="E37" s="10" t="s">
        <v>146</v>
      </c>
    </row>
    <row r="38" ht="30.75" customHeight="1">
      <c r="A38" s="29"/>
      <c r="B38" s="28"/>
      <c r="D38" s="14"/>
      <c r="E38" s="14"/>
    </row>
  </sheetData>
  <customSheetViews>
    <customSheetView guid="{9BD6ACEA-7BF5-4A40-B712-B5AABA76F807}" filter="1" showAutoFilter="1">
      <autoFilter ref="$A$2:$E$38"/>
    </customSheetView>
  </customSheetViews>
  <mergeCells count="8">
    <mergeCell ref="A2:D2"/>
    <mergeCell ref="A7:D7"/>
    <mergeCell ref="A12:D12"/>
    <mergeCell ref="A15:D15"/>
    <mergeCell ref="A21:D21"/>
    <mergeCell ref="A24:D24"/>
    <mergeCell ref="A30:D30"/>
    <mergeCell ref="A34:D3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8.25"/>
    <col customWidth="1" min="4" max="4" width="31.25"/>
    <col customWidth="1" min="5" max="5" width="27.63"/>
  </cols>
  <sheetData>
    <row r="1">
      <c r="A1" s="35" t="s">
        <v>152</v>
      </c>
      <c r="B1" s="36" t="s">
        <v>153</v>
      </c>
      <c r="C1" s="36" t="s">
        <v>154</v>
      </c>
      <c r="D1" s="36" t="s">
        <v>155</v>
      </c>
      <c r="E1" s="36" t="s">
        <v>156</v>
      </c>
    </row>
    <row r="2">
      <c r="A2" s="37">
        <v>1.0</v>
      </c>
      <c r="B2" s="10" t="s">
        <v>7</v>
      </c>
      <c r="C2" s="38" t="s">
        <v>6</v>
      </c>
      <c r="D2" s="10" t="s">
        <v>8</v>
      </c>
      <c r="E2" s="10" t="s">
        <v>109</v>
      </c>
    </row>
    <row r="3">
      <c r="A3" s="37">
        <v>2.0</v>
      </c>
      <c r="B3" s="10" t="s">
        <v>15</v>
      </c>
      <c r="C3" s="38" t="s">
        <v>6</v>
      </c>
      <c r="D3" s="10" t="s">
        <v>16</v>
      </c>
      <c r="E3" s="10" t="s">
        <v>111</v>
      </c>
    </row>
    <row r="4">
      <c r="A4" s="37">
        <v>3.0</v>
      </c>
      <c r="B4" s="10" t="s">
        <v>18</v>
      </c>
      <c r="C4" s="38" t="s">
        <v>6</v>
      </c>
      <c r="D4" s="10" t="s">
        <v>19</v>
      </c>
      <c r="E4" s="39" t="s">
        <v>113</v>
      </c>
    </row>
    <row r="5">
      <c r="A5" s="37">
        <v>4.0</v>
      </c>
      <c r="B5" s="10" t="s">
        <v>26</v>
      </c>
      <c r="C5" s="38" t="s">
        <v>25</v>
      </c>
      <c r="D5" s="10" t="s">
        <v>27</v>
      </c>
      <c r="E5" s="10" t="s">
        <v>115</v>
      </c>
    </row>
    <row r="6">
      <c r="A6" s="37">
        <v>5.0</v>
      </c>
      <c r="B6" s="18" t="s">
        <v>30</v>
      </c>
      <c r="C6" s="38" t="s">
        <v>25</v>
      </c>
      <c r="D6" s="18" t="s">
        <v>31</v>
      </c>
      <c r="E6" s="18" t="s">
        <v>117</v>
      </c>
    </row>
    <row r="7">
      <c r="A7" s="37">
        <v>6.0</v>
      </c>
      <c r="B7" s="18" t="s">
        <v>33</v>
      </c>
      <c r="C7" s="38" t="s">
        <v>25</v>
      </c>
      <c r="D7" s="18" t="s">
        <v>34</v>
      </c>
      <c r="E7" s="18" t="s">
        <v>118</v>
      </c>
    </row>
    <row r="8">
      <c r="A8" s="37">
        <v>7.0</v>
      </c>
      <c r="B8" s="10" t="s">
        <v>36</v>
      </c>
      <c r="C8" s="38" t="s">
        <v>25</v>
      </c>
      <c r="D8" s="10" t="s">
        <v>37</v>
      </c>
      <c r="E8" s="10" t="s">
        <v>119</v>
      </c>
    </row>
    <row r="9">
      <c r="A9" s="37">
        <v>8.0</v>
      </c>
      <c r="B9" s="10" t="s">
        <v>40</v>
      </c>
      <c r="C9" s="38" t="s">
        <v>39</v>
      </c>
      <c r="D9" s="10" t="s">
        <v>41</v>
      </c>
      <c r="E9" s="10" t="s">
        <v>121</v>
      </c>
    </row>
    <row r="10">
      <c r="A10" s="37">
        <v>9.0</v>
      </c>
      <c r="B10" s="18" t="s">
        <v>62</v>
      </c>
      <c r="C10" s="38" t="s">
        <v>123</v>
      </c>
      <c r="D10" s="10" t="s">
        <v>125</v>
      </c>
      <c r="E10" s="10" t="s">
        <v>124</v>
      </c>
    </row>
    <row r="11">
      <c r="A11" s="37">
        <v>10.0</v>
      </c>
      <c r="B11" s="18" t="s">
        <v>56</v>
      </c>
      <c r="C11" s="38" t="s">
        <v>123</v>
      </c>
      <c r="D11" s="10" t="s">
        <v>57</v>
      </c>
      <c r="E11" s="10" t="s">
        <v>127</v>
      </c>
    </row>
    <row r="12">
      <c r="A12" s="37">
        <v>11.0</v>
      </c>
      <c r="B12" s="18" t="s">
        <v>59</v>
      </c>
      <c r="C12" s="38" t="s">
        <v>123</v>
      </c>
      <c r="D12" s="10" t="s">
        <v>60</v>
      </c>
      <c r="E12" s="10" t="s">
        <v>129</v>
      </c>
    </row>
    <row r="13">
      <c r="A13" s="37">
        <v>12.0</v>
      </c>
      <c r="B13" s="10" t="s">
        <v>46</v>
      </c>
      <c r="C13" s="38" t="s">
        <v>123</v>
      </c>
      <c r="D13" s="10" t="s">
        <v>41</v>
      </c>
      <c r="E13" s="10" t="s">
        <v>130</v>
      </c>
    </row>
    <row r="14">
      <c r="A14" s="37">
        <v>13.0</v>
      </c>
      <c r="B14" s="10" t="s">
        <v>49</v>
      </c>
      <c r="C14" s="38" t="s">
        <v>123</v>
      </c>
      <c r="D14" s="10" t="s">
        <v>50</v>
      </c>
      <c r="E14" s="10" t="s">
        <v>131</v>
      </c>
    </row>
    <row r="15">
      <c r="A15" s="37">
        <v>14.0</v>
      </c>
      <c r="B15" s="18" t="s">
        <v>53</v>
      </c>
      <c r="C15" s="38" t="s">
        <v>157</v>
      </c>
      <c r="D15" s="10" t="s">
        <v>134</v>
      </c>
      <c r="E15" s="10" t="s">
        <v>133</v>
      </c>
    </row>
    <row r="16">
      <c r="A16" s="37">
        <v>15.0</v>
      </c>
      <c r="B16" s="10" t="s">
        <v>65</v>
      </c>
      <c r="C16" s="38" t="s">
        <v>157</v>
      </c>
      <c r="D16" s="10" t="s">
        <v>60</v>
      </c>
      <c r="E16" s="10" t="s">
        <v>135</v>
      </c>
    </row>
    <row r="17">
      <c r="A17" s="37">
        <v>16.0</v>
      </c>
      <c r="B17" s="10" t="s">
        <v>68</v>
      </c>
      <c r="C17" s="38" t="s">
        <v>67</v>
      </c>
      <c r="D17" s="10" t="s">
        <v>69</v>
      </c>
      <c r="E17" s="10" t="s">
        <v>137</v>
      </c>
    </row>
    <row r="18">
      <c r="A18" s="37">
        <v>17.0</v>
      </c>
      <c r="B18" s="10" t="s">
        <v>71</v>
      </c>
      <c r="C18" s="38" t="s">
        <v>67</v>
      </c>
      <c r="D18" s="10" t="s">
        <v>72</v>
      </c>
      <c r="E18" s="10" t="s">
        <v>139</v>
      </c>
    </row>
    <row r="19">
      <c r="A19" s="37">
        <v>18.0</v>
      </c>
      <c r="B19" s="10" t="s">
        <v>74</v>
      </c>
      <c r="C19" s="38" t="s">
        <v>67</v>
      </c>
      <c r="D19" s="10" t="s">
        <v>75</v>
      </c>
      <c r="E19" s="10" t="s">
        <v>140</v>
      </c>
    </row>
    <row r="20">
      <c r="A20" s="37">
        <v>19.0</v>
      </c>
      <c r="B20" s="10" t="s">
        <v>77</v>
      </c>
      <c r="C20" s="38" t="s">
        <v>67</v>
      </c>
      <c r="D20" s="10" t="s">
        <v>78</v>
      </c>
      <c r="E20" s="10" t="s">
        <v>142</v>
      </c>
    </row>
    <row r="21">
      <c r="A21" s="37">
        <v>20.0</v>
      </c>
      <c r="B21" s="10" t="s">
        <v>80</v>
      </c>
      <c r="C21" s="38" t="s">
        <v>67</v>
      </c>
      <c r="D21" s="10" t="s">
        <v>72</v>
      </c>
      <c r="E21" s="10" t="s">
        <v>143</v>
      </c>
    </row>
    <row r="22">
      <c r="A22" s="37">
        <v>21.0</v>
      </c>
      <c r="B22" s="10" t="s">
        <v>83</v>
      </c>
      <c r="C22" s="38" t="s">
        <v>82</v>
      </c>
      <c r="D22" s="10" t="s">
        <v>145</v>
      </c>
      <c r="E22" s="10" t="s">
        <v>144</v>
      </c>
    </row>
    <row r="23">
      <c r="A23" s="37">
        <v>22.0</v>
      </c>
      <c r="B23" s="10" t="s">
        <v>86</v>
      </c>
      <c r="C23" s="38" t="s">
        <v>82</v>
      </c>
      <c r="D23" s="10" t="s">
        <v>84</v>
      </c>
      <c r="E23" s="10" t="s">
        <v>147</v>
      </c>
    </row>
    <row r="24">
      <c r="A24" s="37">
        <v>23.0</v>
      </c>
      <c r="B24" s="10" t="s">
        <v>92</v>
      </c>
      <c r="C24" s="38" t="s">
        <v>91</v>
      </c>
      <c r="D24" s="10" t="s">
        <v>149</v>
      </c>
      <c r="E24" s="10" t="s">
        <v>148</v>
      </c>
    </row>
    <row r="25">
      <c r="A25" s="37">
        <v>24.0</v>
      </c>
      <c r="B25" s="10" t="s">
        <v>94</v>
      </c>
      <c r="C25" s="38" t="s">
        <v>91</v>
      </c>
      <c r="D25" s="10" t="s">
        <v>84</v>
      </c>
      <c r="E25" s="10" t="s">
        <v>150</v>
      </c>
    </row>
    <row r="26">
      <c r="A26" s="37">
        <v>25.0</v>
      </c>
      <c r="B26" s="10" t="s">
        <v>96</v>
      </c>
      <c r="C26" s="38" t="s">
        <v>91</v>
      </c>
      <c r="D26" s="10" t="s">
        <v>84</v>
      </c>
      <c r="E26" s="10" t="s">
        <v>151</v>
      </c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0.0"/>
    <col customWidth="1" min="3" max="3" width="42.75"/>
  </cols>
  <sheetData>
    <row r="1">
      <c r="A1" s="41" t="s">
        <v>158</v>
      </c>
      <c r="B1" s="41" t="s">
        <v>159</v>
      </c>
      <c r="C1" s="41" t="s">
        <v>160</v>
      </c>
    </row>
    <row r="2">
      <c r="A2" s="42" t="s">
        <v>161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0.13"/>
    <col customWidth="1" min="3" max="3" width="41.75"/>
  </cols>
  <sheetData>
    <row r="1">
      <c r="A1" s="41" t="s">
        <v>162</v>
      </c>
      <c r="B1" s="41" t="s">
        <v>163</v>
      </c>
      <c r="C1" s="41" t="s">
        <v>160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13"/>
    <col customWidth="1" min="3" max="3" width="20.0"/>
    <col customWidth="1" min="5" max="5" width="16.88"/>
    <col customWidth="1" min="6" max="6" width="24.25"/>
  </cols>
  <sheetData>
    <row r="1">
      <c r="A1" s="41" t="s">
        <v>164</v>
      </c>
      <c r="B1" s="41" t="s">
        <v>158</v>
      </c>
      <c r="C1" s="41" t="s">
        <v>165</v>
      </c>
      <c r="D1" s="41" t="s">
        <v>166</v>
      </c>
      <c r="E1" s="41" t="s">
        <v>167</v>
      </c>
      <c r="F1" s="41" t="s">
        <v>159</v>
      </c>
      <c r="G1" s="41" t="s">
        <v>162</v>
      </c>
      <c r="H1" s="41" t="s">
        <v>168</v>
      </c>
      <c r="I1" s="41" t="s">
        <v>169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